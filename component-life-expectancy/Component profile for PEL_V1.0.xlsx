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xa-my.sharepoint.com/personal/henryyh_luo_moxa_com/Documents/RM/PEL/"/>
    </mc:Choice>
  </mc:AlternateContent>
  <xr:revisionPtr revIDLastSave="159" documentId="8_{4B5B080A-CDB0-4CDC-9128-B62D9BE57AA7}" xr6:coauthVersionLast="47" xr6:coauthVersionMax="47" xr10:uidLastSave="{61099210-478C-4F1D-A8AC-7D1350EE11CF}"/>
  <bookViews>
    <workbookView xWindow="-110" yWindow="-110" windowWidth="19420" windowHeight="10300" activeTab="1" xr2:uid="{845A0A43-5CCE-4520-AC09-6F03EABC5792}"/>
  </bookViews>
  <sheets>
    <sheet name="Revision" sheetId="11" r:id="rId1"/>
    <sheet name="Profile" sheetId="3" r:id="rId2"/>
    <sheet name="E-cap" sheetId="1" r:id="rId3"/>
    <sheet name="EN 50155 (2017)" sheetId="6" state="hidden" r:id="rId4"/>
    <sheet name="Test condition" sheetId="4" state="hidden" r:id="rId5"/>
    <sheet name="Tj" sheetId="5" r:id="rId6"/>
    <sheet name="Reference Tj" sheetId="10" r:id="rId7"/>
    <sheet name="LD" sheetId="9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3" l="1"/>
  <c r="O17" i="3"/>
  <c r="M17" i="3"/>
  <c r="Q16" i="3"/>
  <c r="O16" i="3"/>
  <c r="M16" i="3"/>
  <c r="Q15" i="3"/>
  <c r="O15" i="3"/>
  <c r="M15" i="3"/>
  <c r="J21" i="3" l="1"/>
  <c r="J20" i="3"/>
  <c r="H21" i="3"/>
  <c r="H20" i="3"/>
  <c r="F21" i="3"/>
  <c r="F20" i="3"/>
  <c r="F17" i="3"/>
  <c r="H17" i="3"/>
  <c r="J17" i="3"/>
  <c r="J16" i="3"/>
  <c r="H16" i="3"/>
  <c r="F16" i="3"/>
  <c r="J19" i="3"/>
  <c r="H19" i="3"/>
  <c r="F19" i="3"/>
  <c r="J15" i="3"/>
  <c r="H15" i="3"/>
  <c r="F15" i="3"/>
  <c r="J14" i="3"/>
  <c r="H14" i="3"/>
  <c r="F14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" i="1"/>
</calcChain>
</file>

<file path=xl/sharedStrings.xml><?xml version="1.0" encoding="utf-8"?>
<sst xmlns="http://schemas.openxmlformats.org/spreadsheetml/2006/main" count="197" uniqueCount="71">
  <si>
    <t>說明</t>
    <phoneticPr fontId="1" type="noConversion"/>
  </si>
  <si>
    <t>Power transistor</t>
    <phoneticPr fontId="1" type="noConversion"/>
  </si>
  <si>
    <t>用於功率應用的電晶體</t>
    <phoneticPr fontId="1" type="noConversion"/>
  </si>
  <si>
    <t>≤</t>
  </si>
  <si>
    <t>Optocoupler</t>
    <phoneticPr fontId="1" type="noConversion"/>
  </si>
  <si>
    <t>LED and LED modules</t>
    <phoneticPr fontId="1" type="noConversion"/>
  </si>
  <si>
    <t>Aluminium, non-solid electrolyte capacitor</t>
  </si>
  <si>
    <t>Relay</t>
    <phoneticPr fontId="1" type="noConversion"/>
  </si>
  <si>
    <t>≥</t>
  </si>
  <si>
    <t>15年</t>
    <phoneticPr fontId="1" type="noConversion"/>
  </si>
  <si>
    <t>10年</t>
    <phoneticPr fontId="1" type="noConversion"/>
  </si>
  <si>
    <t>5年</t>
    <phoneticPr fontId="1" type="noConversion"/>
  </si>
  <si>
    <t>光耦合器</t>
    <phoneticPr fontId="1" type="noConversion"/>
  </si>
  <si>
    <t>繼電器</t>
    <phoneticPr fontId="1" type="noConversion"/>
  </si>
  <si>
    <t>客戶可觸及使用的開關與鍵盤</t>
    <phoneticPr fontId="1" type="noConversion"/>
  </si>
  <si>
    <t>Switch and Keyboard</t>
    <phoneticPr fontId="1" type="noConversion"/>
  </si>
  <si>
    <t>客戶可觸及使用的連接器</t>
    <phoneticPr fontId="1" type="noConversion"/>
  </si>
  <si>
    <t>Connector</t>
    <phoneticPr fontId="1" type="noConversion"/>
  </si>
  <si>
    <r>
      <t>測試溫度(</t>
    </r>
    <r>
      <rPr>
        <b/>
        <sz val="12"/>
        <color theme="1"/>
        <rFont val="細明體"/>
        <family val="3"/>
        <charset val="136"/>
      </rPr>
      <t>℃</t>
    </r>
    <r>
      <rPr>
        <b/>
        <sz val="12"/>
        <color theme="1"/>
        <rFont val="新細明體"/>
        <family val="1"/>
        <charset val="136"/>
        <scheme val="minor"/>
      </rPr>
      <t>)</t>
    </r>
    <phoneticPr fontId="1" type="noConversion"/>
  </si>
  <si>
    <t>測試時間(hr)</t>
    <phoneticPr fontId="1" type="noConversion"/>
  </si>
  <si>
    <r>
      <t>根據產品在</t>
    </r>
    <r>
      <rPr>
        <b/>
        <sz val="12"/>
        <color theme="1"/>
        <rFont val="新細明體"/>
        <family val="1"/>
        <charset val="136"/>
        <scheme val="minor"/>
      </rPr>
      <t>客戶使用溫度</t>
    </r>
    <r>
      <rPr>
        <sz val="12"/>
        <color theme="1"/>
        <rFont val="新細明體"/>
        <family val="2"/>
        <charset val="136"/>
        <scheme val="minor"/>
      </rPr>
      <t>下量測的</t>
    </r>
    <r>
      <rPr>
        <b/>
        <sz val="12"/>
        <color theme="1"/>
        <rFont val="新細明體"/>
        <family val="1"/>
        <charset val="136"/>
        <scheme val="minor"/>
      </rPr>
      <t>零件表面溫度</t>
    </r>
    <r>
      <rPr>
        <sz val="12"/>
        <color theme="1"/>
        <rFont val="新細明體"/>
        <family val="2"/>
        <charset val="136"/>
        <scheme val="minor"/>
      </rPr>
      <t>，並需量測其</t>
    </r>
    <r>
      <rPr>
        <b/>
        <sz val="12"/>
        <color theme="1"/>
        <rFont val="新細明體"/>
        <family val="1"/>
        <charset val="136"/>
        <scheme val="minor"/>
      </rPr>
      <t>功率耗散</t>
    </r>
    <r>
      <rPr>
        <sz val="12"/>
        <color theme="1"/>
        <rFont val="新細明體"/>
        <family val="2"/>
        <charset val="136"/>
        <scheme val="minor"/>
      </rPr>
      <t>，搭配廠商提供的</t>
    </r>
    <r>
      <rPr>
        <b/>
        <sz val="12"/>
        <color theme="1"/>
        <rFont val="新細明體"/>
        <family val="1"/>
        <charset val="136"/>
        <scheme val="minor"/>
      </rPr>
      <t>熱阻</t>
    </r>
    <r>
      <rPr>
        <sz val="12"/>
        <color theme="1"/>
        <rFont val="新細明體"/>
        <family val="2"/>
        <charset val="136"/>
        <scheme val="minor"/>
      </rPr>
      <t>數據，計算結溫(Tj)</t>
    </r>
    <phoneticPr fontId="1" type="noConversion"/>
  </si>
  <si>
    <r>
      <t>在</t>
    </r>
    <r>
      <rPr>
        <b/>
        <sz val="12"/>
        <color rgb="FF0000FF"/>
        <rFont val="新細明體"/>
        <family val="1"/>
        <charset val="136"/>
        <scheme val="minor"/>
      </rPr>
      <t>客戶使用溫度</t>
    </r>
    <r>
      <rPr>
        <b/>
        <sz val="12"/>
        <color theme="1"/>
        <rFont val="新細明體"/>
        <family val="1"/>
        <charset val="136"/>
        <scheme val="minor"/>
      </rPr>
      <t>下，電容溫度需低於以下溫度，以滿足以下年限</t>
    </r>
    <phoneticPr fontId="1" type="noConversion"/>
  </si>
  <si>
    <t>客戶需求年限</t>
    <phoneticPr fontId="1" type="noConversion"/>
  </si>
  <si>
    <t>液態電解電容與Hybrid電容</t>
    <phoneticPr fontId="1" type="noConversion"/>
  </si>
  <si>
    <r>
      <t>在</t>
    </r>
    <r>
      <rPr>
        <sz val="12"/>
        <color rgb="FF0000FF"/>
        <rFont val="新細明體"/>
        <family val="1"/>
        <charset val="136"/>
        <scheme val="minor"/>
      </rPr>
      <t>客戶使用次數</t>
    </r>
    <r>
      <rPr>
        <sz val="12"/>
        <color theme="1"/>
        <rFont val="新細明體"/>
        <family val="2"/>
        <charset val="136"/>
        <scheme val="minor"/>
      </rPr>
      <t>下，其規格需大於以下cycle數</t>
    </r>
    <phoneticPr fontId="1" type="noConversion"/>
  </si>
  <si>
    <r>
      <t>在</t>
    </r>
    <r>
      <rPr>
        <sz val="12"/>
        <color rgb="FF0000FF"/>
        <rFont val="新細明體"/>
        <family val="1"/>
        <charset val="136"/>
        <scheme val="minor"/>
      </rPr>
      <t>客戶開關機次數</t>
    </r>
    <r>
      <rPr>
        <sz val="12"/>
        <color theme="1"/>
        <rFont val="新細明體"/>
        <family val="2"/>
        <charset val="136"/>
        <scheme val="minor"/>
      </rPr>
      <t>下，其規格需大於以下cycle數</t>
    </r>
    <phoneticPr fontId="1" type="noConversion"/>
  </si>
  <si>
    <t>條件說明</t>
    <phoneticPr fontId="1" type="noConversion"/>
  </si>
  <si>
    <r>
      <t xml:space="preserve">用於光纖通訊系統中，波長為0.85 </t>
    </r>
    <r>
      <rPr>
        <sz val="10"/>
        <color theme="1"/>
        <rFont val="Calibri"/>
        <family val="2"/>
        <charset val="161"/>
      </rPr>
      <t>μ</t>
    </r>
    <r>
      <rPr>
        <sz val="10"/>
        <color theme="1"/>
        <rFont val="新細明體"/>
        <family val="2"/>
        <charset val="136"/>
        <scheme val="minor"/>
      </rPr>
      <t>m的發光二極體(LED)與雷射二極體(Laser Diode)</t>
    </r>
    <phoneticPr fontId="1" type="noConversion"/>
  </si>
  <si>
    <r>
      <t xml:space="preserve">用於光纖通訊系統中，波長&gt;=1.3 </t>
    </r>
    <r>
      <rPr>
        <sz val="10"/>
        <color theme="1"/>
        <rFont val="Calibri"/>
        <family val="2"/>
        <charset val="161"/>
      </rPr>
      <t>μ</t>
    </r>
    <r>
      <rPr>
        <sz val="10"/>
        <color theme="1"/>
        <rFont val="新細明體"/>
        <family val="2"/>
        <charset val="136"/>
        <scheme val="minor"/>
      </rPr>
      <t>m的發光二極體(LED)與雷射二極體(Laser Diode)</t>
    </r>
    <phoneticPr fontId="1" type="noConversion"/>
  </si>
  <si>
    <t>每天開關機次數</t>
    <phoneticPr fontId="1" type="noConversion"/>
  </si>
  <si>
    <t>每天使用次數 (Switch and Keyboard / Connector)</t>
    <phoneticPr fontId="1" type="noConversion"/>
  </si>
  <si>
    <t>選料需知</t>
    <phoneticPr fontId="1" type="noConversion"/>
  </si>
  <si>
    <t>Fiber module &amp; SFP</t>
    <phoneticPr fontId="1" type="noConversion"/>
  </si>
  <si>
    <t>量測基本前提</t>
    <phoneticPr fontId="1" type="noConversion"/>
  </si>
  <si>
    <t>直立/平放</t>
    <phoneticPr fontId="1" type="noConversion"/>
  </si>
  <si>
    <t>壽命因子假設條件</t>
    <phoneticPr fontId="1" type="noConversion"/>
  </si>
  <si>
    <t>產品擺放方式</t>
    <phoneticPr fontId="1" type="noConversion"/>
  </si>
  <si>
    <t>零件類型</t>
    <phoneticPr fontId="1" type="noConversion"/>
  </si>
  <si>
    <t>料號開頭</t>
    <phoneticPr fontId="1" type="noConversion"/>
  </si>
  <si>
    <r>
      <t xml:space="preserve">Tj = Tc + </t>
    </r>
    <r>
      <rPr>
        <b/>
        <sz val="12"/>
        <color rgb="FF0000FF"/>
        <rFont val="新細明體"/>
        <family val="1"/>
        <charset val="136"/>
        <scheme val="minor"/>
      </rPr>
      <t>35℃</t>
    </r>
    <phoneticPr fontId="1" type="noConversion"/>
  </si>
  <si>
    <r>
      <t xml:space="preserve">Tj = Tc + </t>
    </r>
    <r>
      <rPr>
        <b/>
        <sz val="12"/>
        <color rgb="FF0000FF"/>
        <rFont val="新細明體"/>
        <family val="1"/>
        <charset val="136"/>
        <scheme val="minor"/>
      </rPr>
      <t>25℃</t>
    </r>
    <phoneticPr fontId="1" type="noConversion"/>
  </si>
  <si>
    <r>
      <t xml:space="preserve">Tj = Tc + </t>
    </r>
    <r>
      <rPr>
        <b/>
        <sz val="12"/>
        <color rgb="FF0000FF"/>
        <rFont val="新細明體"/>
        <family val="1"/>
        <charset val="136"/>
        <scheme val="minor"/>
      </rPr>
      <t>60℃</t>
    </r>
    <phoneticPr fontId="1" type="noConversion"/>
  </si>
  <si>
    <r>
      <t xml:space="preserve">Power transistor &amp; Optocoupler </t>
    </r>
    <r>
      <rPr>
        <sz val="12"/>
        <color rgb="FF0000FF"/>
        <rFont val="新細明體"/>
        <family val="1"/>
        <charset val="136"/>
        <scheme val="minor"/>
      </rPr>
      <t>(包含outsourcing power module)</t>
    </r>
    <phoneticPr fontId="1" type="noConversion"/>
  </si>
  <si>
    <r>
      <t xml:space="preserve">Endurance test
</t>
    </r>
    <r>
      <rPr>
        <b/>
        <sz val="12"/>
        <color rgb="FFFF0000"/>
        <rFont val="新細明體"/>
        <family val="1"/>
        <charset val="136"/>
        <scheme val="minor"/>
      </rPr>
      <t>(datasheet)</t>
    </r>
    <phoneticPr fontId="1" type="noConversion"/>
  </si>
  <si>
    <t>參見"E-cap"分頁</t>
    <phoneticPr fontId="1" type="noConversion"/>
  </si>
  <si>
    <t>使用溫度</t>
    <phoneticPr fontId="1" type="noConversion"/>
  </si>
  <si>
    <r>
      <t>在</t>
    </r>
    <r>
      <rPr>
        <sz val="12"/>
        <color rgb="FF0000FF"/>
        <rFont val="新細明體"/>
        <family val="1"/>
        <charset val="136"/>
        <scheme val="minor"/>
      </rPr>
      <t>客戶使用溫度</t>
    </r>
    <r>
      <rPr>
        <sz val="12"/>
        <color theme="1"/>
        <rFont val="新細明體"/>
        <family val="2"/>
        <charset val="136"/>
        <scheme val="minor"/>
      </rPr>
      <t>下，其</t>
    </r>
    <r>
      <rPr>
        <b/>
        <sz val="12"/>
        <color theme="1"/>
        <rFont val="新細明體"/>
        <family val="1"/>
        <charset val="136"/>
        <scheme val="minor"/>
      </rPr>
      <t>Tj</t>
    </r>
    <r>
      <rPr>
        <sz val="12"/>
        <color theme="1"/>
        <rFont val="新細明體"/>
        <family val="2"/>
        <charset val="136"/>
        <scheme val="minor"/>
      </rPr>
      <t>需低於以下溫度</t>
    </r>
    <phoneticPr fontId="1" type="noConversion"/>
  </si>
  <si>
    <r>
      <t>在</t>
    </r>
    <r>
      <rPr>
        <sz val="12"/>
        <color rgb="FF0000FF"/>
        <rFont val="新細明體"/>
        <family val="1"/>
        <charset val="136"/>
        <scheme val="minor"/>
      </rPr>
      <t>客戶使用溫度</t>
    </r>
    <r>
      <rPr>
        <sz val="12"/>
        <color theme="1"/>
        <rFont val="新細明體"/>
        <family val="2"/>
        <charset val="136"/>
        <scheme val="minor"/>
      </rPr>
      <t>下，其</t>
    </r>
    <r>
      <rPr>
        <b/>
        <sz val="12"/>
        <color theme="1"/>
        <rFont val="新細明體"/>
        <family val="1"/>
        <charset val="136"/>
        <scheme val="minor"/>
      </rPr>
      <t>Tc</t>
    </r>
    <r>
      <rPr>
        <sz val="12"/>
        <color theme="1"/>
        <rFont val="新細明體"/>
        <family val="2"/>
        <charset val="136"/>
        <scheme val="minor"/>
      </rPr>
      <t>需低於以下溫度</t>
    </r>
    <phoneticPr fontId="1" type="noConversion"/>
  </si>
  <si>
    <r>
      <t>在</t>
    </r>
    <r>
      <rPr>
        <sz val="12"/>
        <color rgb="FF0000FF"/>
        <rFont val="新細明體"/>
        <family val="1"/>
        <charset val="136"/>
        <scheme val="minor"/>
      </rPr>
      <t>客戶使用溫度</t>
    </r>
    <r>
      <rPr>
        <sz val="12"/>
        <rFont val="新細明體"/>
        <family val="1"/>
        <charset val="136"/>
        <scheme val="minor"/>
      </rPr>
      <t>及</t>
    </r>
    <r>
      <rPr>
        <sz val="12"/>
        <color rgb="FF0000FF"/>
        <rFont val="新細明體"/>
        <family val="1"/>
        <charset val="136"/>
        <scheme val="minor"/>
      </rPr>
      <t>開關機次數</t>
    </r>
    <r>
      <rPr>
        <sz val="12"/>
        <color theme="1"/>
        <rFont val="新細明體"/>
        <family val="2"/>
        <charset val="136"/>
        <scheme val="minor"/>
      </rPr>
      <t>下，其</t>
    </r>
    <r>
      <rPr>
        <b/>
        <sz val="12"/>
        <color theme="1"/>
        <rFont val="Calibri"/>
        <family val="2"/>
        <charset val="161"/>
      </rPr>
      <t>Δ</t>
    </r>
    <r>
      <rPr>
        <b/>
        <sz val="12"/>
        <color theme="1"/>
        <rFont val="新細明體"/>
        <family val="2"/>
        <charset val="136"/>
        <scheme val="minor"/>
      </rPr>
      <t xml:space="preserve">Tj </t>
    </r>
    <r>
      <rPr>
        <sz val="12"/>
        <color theme="1"/>
        <rFont val="新細明體"/>
        <family val="1"/>
        <charset val="136"/>
        <scheme val="minor"/>
      </rPr>
      <t>(Tj–客戶使用溫度)需低於以下溫度</t>
    </r>
    <phoneticPr fontId="1" type="noConversion"/>
  </si>
  <si>
    <r>
      <t xml:space="preserve">實際操作電流為基準電流的50% </t>
    </r>
    <r>
      <rPr>
        <sz val="12"/>
        <color theme="1"/>
        <rFont val="新細明體"/>
        <family val="1"/>
        <charset val="136"/>
        <scheme val="minor"/>
      </rPr>
      <t xml:space="preserve">(De-rating to 50%) </t>
    </r>
    <phoneticPr fontId="1" type="noConversion"/>
  </si>
  <si>
    <r>
      <t>1. 當實際操作電流等於基準電流 50 mA時，操作電流因子(κ₀)為 1。
2. Current Transfer Ratio (CTR)性能衰退的判斷基準為 CTR 降至初始值的 50% (m = 0.5)；該性能測試通常在 2 mA 測試電流條件下進行，對應的性能衰退因子(κ</t>
    </r>
    <r>
      <rPr>
        <sz val="8"/>
        <rFont val="新細明體"/>
        <family val="2"/>
        <charset val="1"/>
        <scheme val="minor"/>
      </rPr>
      <t>₁</t>
    </r>
    <r>
      <rPr>
        <sz val="8"/>
        <rFont val="新細明體"/>
        <family val="1"/>
        <charset val="136"/>
        <scheme val="minor"/>
      </rPr>
      <t>)與測試電流因子(κ</t>
    </r>
    <r>
      <rPr>
        <sz val="8"/>
        <rFont val="新細明體"/>
        <family val="2"/>
        <charset val="1"/>
        <scheme val="minor"/>
      </rPr>
      <t>₂</t>
    </r>
    <r>
      <rPr>
        <sz val="8"/>
        <rFont val="新細明體"/>
        <family val="1"/>
        <charset val="136"/>
        <scheme val="minor"/>
      </rPr>
      <t xml:space="preserve">)均設定為 1。(Optocoupler 使用 2 mA 為測試電流，是為了避免輸出端飽和、減少熱影響，並符合標準 CTR 評估條件。)
</t>
    </r>
    <r>
      <rPr>
        <sz val="8"/>
        <color rgb="FFFF0000"/>
        <rFont val="新細明體"/>
        <family val="1"/>
        <charset val="136"/>
        <scheme val="minor"/>
      </rPr>
      <t>3. 對於塑膠(環氧樹脂)封裝的光耦合器，其Tj不得超過 90 °C。</t>
    </r>
    <phoneticPr fontId="1" type="noConversion"/>
  </si>
  <si>
    <r>
      <t>1. 當實際操作電流等於基準電流 100 mA時，操作電流因子(κ₀)為 1。
2. Optical output power性能衰退的判斷基準為輸出功率降至初始值的 50% (m = 0.5)；該性能測試通常在 100 mA 測試電流條件下進行，對應的性能衰退因子(κ</t>
    </r>
    <r>
      <rPr>
        <sz val="8"/>
        <rFont val="新細明體"/>
        <family val="2"/>
        <charset val="1"/>
        <scheme val="minor"/>
      </rPr>
      <t>₁</t>
    </r>
    <r>
      <rPr>
        <sz val="8"/>
        <rFont val="新細明體"/>
        <family val="1"/>
        <charset val="136"/>
        <scheme val="minor"/>
      </rPr>
      <t>)與測試電流因子(κ</t>
    </r>
    <r>
      <rPr>
        <sz val="8"/>
        <rFont val="新細明體"/>
        <family val="2"/>
        <charset val="1"/>
        <scheme val="minor"/>
      </rPr>
      <t>₂</t>
    </r>
    <r>
      <rPr>
        <sz val="8"/>
        <rFont val="新細明體"/>
        <family val="1"/>
        <charset val="136"/>
        <scheme val="minor"/>
      </rPr>
      <t>)均設定為 1。(LED / LD module 使用 100 mA 為測試電流，是因其為典型操作電流，可提供穩定、線性且具可比性的光輸出。)</t>
    </r>
    <phoneticPr fontId="1" type="noConversion"/>
  </si>
  <si>
    <r>
      <t>因較難進行LED/LD的Tj量測，可參考根據IEC 61709的"Reference Tj"分頁，根據"</t>
    </r>
    <r>
      <rPr>
        <sz val="12"/>
        <color rgb="FF0000FF"/>
        <rFont val="新細明體"/>
        <family val="1"/>
        <charset val="136"/>
        <scheme val="minor"/>
      </rPr>
      <t>模組表面</t>
    </r>
    <r>
      <rPr>
        <sz val="12"/>
        <color theme="1"/>
        <rFont val="新細明體"/>
        <family val="2"/>
        <charset val="136"/>
        <scheme val="minor"/>
      </rPr>
      <t>溫度"推估Tj值</t>
    </r>
    <phoneticPr fontId="1" type="noConversion"/>
  </si>
  <si>
    <r>
      <t xml:space="preserve">補充說明: 
</t>
    </r>
    <r>
      <rPr>
        <b/>
        <sz val="8"/>
        <color theme="1"/>
        <rFont val="新細明體"/>
        <family val="2"/>
        <charset val="136"/>
        <scheme val="minor"/>
      </rPr>
      <t>操作電流因子(</t>
    </r>
    <r>
      <rPr>
        <b/>
        <sz val="8"/>
        <color theme="1"/>
        <rFont val="Calibri"/>
        <family val="2"/>
        <charset val="161"/>
      </rPr>
      <t>κ</t>
    </r>
    <r>
      <rPr>
        <b/>
        <sz val="8"/>
        <color theme="1"/>
        <rFont val="Calibri"/>
        <family val="2"/>
        <charset val="1"/>
      </rPr>
      <t>₀</t>
    </r>
    <r>
      <rPr>
        <b/>
        <sz val="8"/>
        <color theme="1"/>
        <rFont val="新細明體"/>
        <family val="2"/>
        <charset val="136"/>
        <scheme val="minor"/>
      </rPr>
      <t>)</t>
    </r>
    <r>
      <rPr>
        <sz val="8"/>
        <color theme="1"/>
        <rFont val="新細明體"/>
        <family val="2"/>
        <charset val="136"/>
        <scheme val="minor"/>
      </rPr>
      <t xml:space="preserve">: 表示實際使用電流與壽命模型中基準操作電流的比值，用以反映操作條件對壽命的影響。
</t>
    </r>
    <r>
      <rPr>
        <b/>
        <sz val="8"/>
        <color theme="1"/>
        <rFont val="新細明體"/>
        <family val="2"/>
        <charset val="136"/>
        <scheme val="minor"/>
      </rPr>
      <t>性能衰退因子(</t>
    </r>
    <r>
      <rPr>
        <b/>
        <sz val="8"/>
        <color theme="1"/>
        <rFont val="Calibri"/>
        <family val="2"/>
        <charset val="161"/>
      </rPr>
      <t>κ</t>
    </r>
    <r>
      <rPr>
        <b/>
        <sz val="8"/>
        <color theme="1"/>
        <rFont val="Calibri"/>
        <family val="2"/>
        <charset val="1"/>
      </rPr>
      <t>₁</t>
    </r>
    <r>
      <rPr>
        <b/>
        <sz val="8"/>
        <color theme="1"/>
        <rFont val="新細明體"/>
        <family val="2"/>
        <charset val="136"/>
        <scheme val="minor"/>
      </rPr>
      <t>)</t>
    </r>
    <r>
      <rPr>
        <sz val="8"/>
        <color theme="1"/>
        <rFont val="新細明體"/>
        <family val="2"/>
        <charset val="136"/>
        <scheme val="minor"/>
      </rPr>
      <t xml:space="preserve">: 表示實際設定的性能失效判準與標準模型中性能失效判準的比值，用以調整不同失效標準對壽命的影響。
</t>
    </r>
    <r>
      <rPr>
        <b/>
        <sz val="8"/>
        <color theme="1"/>
        <rFont val="新細明體"/>
        <family val="2"/>
        <charset val="136"/>
        <scheme val="minor"/>
      </rPr>
      <t>測試電流因子(</t>
    </r>
    <r>
      <rPr>
        <b/>
        <sz val="8"/>
        <color theme="1"/>
        <rFont val="Calibri"/>
        <family val="2"/>
        <charset val="161"/>
      </rPr>
      <t>κ</t>
    </r>
    <r>
      <rPr>
        <b/>
        <sz val="8"/>
        <color theme="1"/>
        <rFont val="Calibri"/>
        <family val="2"/>
        <charset val="1"/>
      </rPr>
      <t>₂</t>
    </r>
    <r>
      <rPr>
        <b/>
        <sz val="8"/>
        <color theme="1"/>
        <rFont val="新細明體"/>
        <family val="2"/>
        <charset val="136"/>
        <scheme val="minor"/>
      </rPr>
      <t>)</t>
    </r>
    <r>
      <rPr>
        <sz val="8"/>
        <color theme="1"/>
        <rFont val="新細明體"/>
        <family val="2"/>
        <charset val="136"/>
        <scheme val="minor"/>
      </rPr>
      <t>: 表示進行性能衰退判定時所採用的測試電流，與模型中所定義測試條件的比值，用於修正測試條件差異對壽命預估的影響。</t>
    </r>
    <phoneticPr fontId="1" type="noConversion"/>
  </si>
  <si>
    <r>
      <t xml:space="preserve">客戶使用條件 </t>
    </r>
    <r>
      <rPr>
        <b/>
        <sz val="12"/>
        <color rgb="FFFF0000"/>
        <rFont val="新細明體"/>
        <family val="1"/>
        <charset val="136"/>
        <scheme val="minor"/>
      </rPr>
      <t>(PM需提供)</t>
    </r>
    <phoneticPr fontId="1" type="noConversion"/>
  </si>
  <si>
    <t>(未考慮施加電壓與紋波電流對壽命的影響)</t>
    <phoneticPr fontId="1" type="noConversion"/>
  </si>
  <si>
    <t>(若無法量測"零件周圍環境溫度"，則假設其等於"零件表面溫度"(Tc))</t>
    <phoneticPr fontId="1" type="noConversion"/>
  </si>
  <si>
    <t>根據IEC 61709，零件周圍環境溫度為40℃時，其參考的Tj值</t>
    <phoneticPr fontId="1" type="noConversion"/>
  </si>
  <si>
    <t>Revision</t>
  </si>
  <si>
    <t>Date</t>
  </si>
  <si>
    <t>By</t>
  </si>
  <si>
    <t>Description</t>
  </si>
  <si>
    <t>1.0</t>
    <phoneticPr fontId="24" type="noConversion"/>
  </si>
  <si>
    <t>新建立</t>
    <phoneticPr fontId="24" type="noConversion"/>
  </si>
  <si>
    <t>Henry Luo / Reliability Management</t>
    <phoneticPr fontId="24" type="noConversion"/>
  </si>
  <si>
    <t>2025/08/XX</t>
    <phoneticPr fontId="1" type="noConversion"/>
  </si>
  <si>
    <r>
      <t>操作電流因子(</t>
    </r>
    <r>
      <rPr>
        <sz val="8"/>
        <color theme="1"/>
        <rFont val="Calibri"/>
        <family val="1"/>
        <charset val="161"/>
      </rPr>
      <t>κ</t>
    </r>
    <r>
      <rPr>
        <sz val="8"/>
        <color theme="1"/>
        <rFont val="Calibri"/>
        <family val="1"/>
        <charset val="1"/>
      </rPr>
      <t>₀</t>
    </r>
    <r>
      <rPr>
        <sz val="8"/>
        <color theme="1"/>
        <rFont val="新細明體"/>
        <family val="1"/>
        <scheme val="minor"/>
      </rPr>
      <t>): 表示實際使用電流與壽命模型中基準操作電流的比值。若實際使用電流低於基準操作電流，零件受熱較少，則壽命預估將增加。
性能衰退因子(</t>
    </r>
    <r>
      <rPr>
        <sz val="8"/>
        <color theme="1"/>
        <rFont val="Calibri"/>
        <family val="1"/>
        <charset val="161"/>
      </rPr>
      <t>κ</t>
    </r>
    <r>
      <rPr>
        <sz val="8"/>
        <color theme="1"/>
        <rFont val="Calibri"/>
        <family val="1"/>
        <charset val="1"/>
      </rPr>
      <t>₁</t>
    </r>
    <r>
      <rPr>
        <sz val="8"/>
        <color theme="1"/>
        <rFont val="新細明體"/>
        <family val="1"/>
        <scheme val="minor"/>
      </rPr>
      <t>): 表示實際設定的性能失效判準與標準模型中性能失效判準的比值。若零件可容許更大的性能衰退，則壽命預估將增加。
測試電流因子(</t>
    </r>
    <r>
      <rPr>
        <sz val="8"/>
        <color theme="1"/>
        <rFont val="Calibri"/>
        <family val="1"/>
        <charset val="161"/>
      </rPr>
      <t>κ</t>
    </r>
    <r>
      <rPr>
        <sz val="8"/>
        <color theme="1"/>
        <rFont val="Calibri"/>
        <family val="1"/>
        <charset val="1"/>
      </rPr>
      <t>₂</t>
    </r>
    <r>
      <rPr>
        <sz val="8"/>
        <color theme="1"/>
        <rFont val="新細明體"/>
        <family val="1"/>
        <scheme val="minor"/>
      </rPr>
      <t>): 表示進行性能衰退判定時所採用的測試電流，與模型中所定義測試條件的比值。若實際測試電流較大，性能對衰退的敏感度降低，則壽命預估將增加。</t>
    </r>
    <phoneticPr fontId="1" type="noConversion"/>
  </si>
  <si>
    <t>Relay, Switch and Keyboard &amp; Connector</t>
    <phoneticPr fontId="1" type="noConversion"/>
  </si>
  <si>
    <t>需從廠商或datasheet中確認其開關或插拔次數規格，確認是否符合所需的cycle數</t>
    <phoneticPr fontId="1" type="noConversion"/>
  </si>
  <si>
    <r>
      <t>需可</t>
    </r>
    <r>
      <rPr>
        <sz val="12"/>
        <rFont val="新細明體"/>
        <family val="1"/>
        <charset val="136"/>
        <scheme val="minor"/>
      </rPr>
      <t>量測零件"</t>
    </r>
    <r>
      <rPr>
        <sz val="12"/>
        <color rgb="FF0000FF"/>
        <rFont val="新細明體"/>
        <family val="1"/>
        <charset val="136"/>
        <scheme val="minor"/>
      </rPr>
      <t>電流</t>
    </r>
    <r>
      <rPr>
        <sz val="12"/>
        <rFont val="新細明體"/>
        <family val="1"/>
        <charset val="136"/>
        <scheme val="minor"/>
      </rPr>
      <t>"與"</t>
    </r>
    <r>
      <rPr>
        <sz val="12"/>
        <color rgb="FF0000FF"/>
        <rFont val="新細明體"/>
        <family val="1"/>
        <charset val="136"/>
        <scheme val="minor"/>
      </rPr>
      <t>功耗"</t>
    </r>
    <r>
      <rPr>
        <sz val="12"/>
        <color theme="1"/>
        <rFont val="新細明體"/>
        <family val="2"/>
        <charset val="136"/>
        <scheme val="minor"/>
      </rPr>
      <t>並跟廠商確認"</t>
    </r>
    <r>
      <rPr>
        <sz val="12"/>
        <color rgb="FF0000FF"/>
        <rFont val="新細明體"/>
        <family val="1"/>
        <charset val="136"/>
        <scheme val="minor"/>
      </rPr>
      <t>熱阻"</t>
    </r>
    <r>
      <rPr>
        <sz val="12"/>
        <color theme="1"/>
        <rFont val="新細明體"/>
        <family val="2"/>
        <charset val="136"/>
        <scheme val="minor"/>
      </rPr>
      <t>資訊
(若確認廠商無法提供熱阻資訊，可參考根據IEC 61709的"Reference Tj"分頁，根據"</t>
    </r>
    <r>
      <rPr>
        <sz val="12"/>
        <color rgb="FF0000FF"/>
        <rFont val="新細明體"/>
        <family val="1"/>
        <charset val="136"/>
        <scheme val="minor"/>
      </rPr>
      <t>零件表面</t>
    </r>
    <r>
      <rPr>
        <sz val="12"/>
        <color theme="1"/>
        <rFont val="新細明體"/>
        <family val="2"/>
        <charset val="136"/>
        <scheme val="minor"/>
      </rPr>
      <t>溫度"推估Tj值)</t>
    </r>
    <phoneticPr fontId="1" type="noConversion"/>
  </si>
  <si>
    <t>不超規使用零件，且必須搭配實際完整系統進行量測 (上電+滿載)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</si>
</sst>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0000FF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0000FF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Calibri"/>
      <family val="2"/>
      <charset val="161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Calibri"/>
      <family val="2"/>
      <charset val="161"/>
    </font>
    <font>
      <sz val="8"/>
      <name val="新細明體"/>
      <family val="1"/>
      <charset val="136"/>
      <scheme val="minor"/>
    </font>
    <font>
      <sz val="8"/>
      <name val="新細明體"/>
      <family val="2"/>
      <charset val="1"/>
      <scheme val="minor"/>
    </font>
    <font>
      <sz val="8"/>
      <color rgb="FFFF0000"/>
      <name val="新細明體"/>
      <family val="1"/>
      <charset val="136"/>
      <scheme val="minor"/>
    </font>
    <font>
      <sz val="8"/>
      <color theme="1"/>
      <name val="新細明體"/>
      <family val="2"/>
      <charset val="136"/>
      <scheme val="minor"/>
    </font>
    <font>
      <b/>
      <sz val="8"/>
      <color theme="1"/>
      <name val="新細明體"/>
      <family val="2"/>
      <charset val="136"/>
      <scheme val="minor"/>
    </font>
    <font>
      <b/>
      <sz val="8"/>
      <color theme="1"/>
      <name val="Calibri"/>
      <family val="2"/>
      <charset val="161"/>
    </font>
    <font>
      <b/>
      <sz val="8"/>
      <color theme="1"/>
      <name val="Calibri"/>
      <family val="2"/>
      <charset val="1"/>
    </font>
    <font>
      <sz val="8"/>
      <color theme="1"/>
      <name val="新細明體"/>
      <family val="1"/>
      <charset val="136"/>
      <scheme val="minor"/>
    </font>
    <font>
      <sz val="8"/>
      <color theme="1"/>
      <name val="新細明體"/>
      <family val="1"/>
      <scheme val="minor"/>
    </font>
    <font>
      <sz val="10"/>
      <name val="新細明體"/>
      <family val="1"/>
      <charset val="136"/>
      <scheme val="minor"/>
    </font>
    <font>
      <sz val="9"/>
      <name val="新細明體"/>
      <family val="1"/>
      <charset val="136"/>
    </font>
    <font>
      <b/>
      <sz val="12"/>
      <name val="新細明體"/>
      <family val="1"/>
      <charset val="136"/>
      <scheme val="minor"/>
    </font>
    <font>
      <sz val="8"/>
      <color theme="1"/>
      <name val="Calibri"/>
      <family val="1"/>
      <charset val="161"/>
    </font>
    <font>
      <sz val="8"/>
      <color theme="1"/>
      <name val="Calibri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2" borderId="0" xfId="0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5" fillId="3" borderId="0" xfId="0" applyFont="1" applyFill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8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right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25683</xdr:colOff>
      <xdr:row>18</xdr:row>
      <xdr:rowOff>178009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52BD586-EADF-EDD7-8EE7-D5EA63139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12083" cy="40642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521009</xdr:colOff>
      <xdr:row>14</xdr:row>
      <xdr:rowOff>12856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4468741-31D0-68A5-DB51-2276732D8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07409" cy="3035456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</xdr:row>
      <xdr:rowOff>101600</xdr:rowOff>
    </xdr:from>
    <xdr:to>
      <xdr:col>8</xdr:col>
      <xdr:colOff>425450</xdr:colOff>
      <xdr:row>12</xdr:row>
      <xdr:rowOff>31750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D90E2FE-A819-ADD3-8811-1C0853EE2B52}"/>
            </a:ext>
          </a:extLst>
        </xdr:cNvPr>
        <xdr:cNvSpPr/>
      </xdr:nvSpPr>
      <xdr:spPr>
        <a:xfrm>
          <a:off x="38100" y="2044700"/>
          <a:ext cx="5264150" cy="577850"/>
        </a:xfrm>
        <a:prstGeom prst="rect">
          <a:avLst/>
        </a:prstGeom>
        <a:noFill/>
        <a:ln>
          <a:solidFill>
            <a:srgbClr val="EE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216256</xdr:colOff>
      <xdr:row>15</xdr:row>
      <xdr:rowOff>44619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B4B4D2E-6A71-5D44-DACB-946C3991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21856" cy="32831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57150</xdr:rowOff>
    </xdr:from>
    <xdr:to>
      <xdr:col>9</xdr:col>
      <xdr:colOff>31750</xdr:colOff>
      <xdr:row>23</xdr:row>
      <xdr:rowOff>184367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E812CC6-ACF0-1F63-D984-77B1FDEFC8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8023"/>
        <a:stretch>
          <a:fillRect/>
        </a:stretch>
      </xdr:blipFill>
      <xdr:spPr>
        <a:xfrm>
          <a:off x="0" y="920750"/>
          <a:ext cx="5518150" cy="422931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26</xdr:row>
      <xdr:rowOff>0</xdr:rowOff>
    </xdr:from>
    <xdr:to>
      <xdr:col>9</xdr:col>
      <xdr:colOff>57151</xdr:colOff>
      <xdr:row>38</xdr:row>
      <xdr:rowOff>171592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3E6276-AAB6-4FF7-9099-E3EEB3C35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7878"/>
        <a:stretch>
          <a:fillRect/>
        </a:stretch>
      </xdr:blipFill>
      <xdr:spPr>
        <a:xfrm>
          <a:off x="1" y="5613400"/>
          <a:ext cx="5543550" cy="27623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9</xdr:col>
      <xdr:colOff>25400</xdr:colOff>
      <xdr:row>57</xdr:row>
      <xdr:rowOff>114483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547093A-A997-3F2D-9589-F8D674B899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8040"/>
        <a:stretch>
          <a:fillRect/>
        </a:stretch>
      </xdr:blipFill>
      <xdr:spPr>
        <a:xfrm>
          <a:off x="0" y="8851900"/>
          <a:ext cx="5511800" cy="35688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82836</xdr:colOff>
      <xdr:row>17</xdr:row>
      <xdr:rowOff>89093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A29AE1E-FDD1-640F-0E4E-0669AD0D8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9236" cy="3759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EE6F-DFDF-4539-A26C-259445E5B6DE}">
  <dimension ref="A1:D2"/>
  <sheetViews>
    <sheetView workbookViewId="0"/>
  </sheetViews>
  <sheetFormatPr defaultRowHeight="17" x14ac:dyDescent="0.4"/>
  <cols>
    <col min="1" max="1" width="9.1796875" style="41" bestFit="1" customWidth="1"/>
    <col min="2" max="2" width="11.36328125" style="41" bestFit="1" customWidth="1"/>
    <col min="3" max="3" width="33.1796875" style="41" bestFit="1" customWidth="1"/>
    <col min="4" max="4" width="50.6328125" style="41" customWidth="1"/>
    <col min="5" max="16384" width="8.7265625" style="41"/>
  </cols>
  <sheetData>
    <row r="1" spans="1:4" x14ac:dyDescent="0.4">
      <c r="A1" s="40" t="s">
        <v>58</v>
      </c>
      <c r="B1" s="40" t="s">
        <v>59</v>
      </c>
      <c r="C1" s="40" t="s">
        <v>60</v>
      </c>
      <c r="D1" s="40" t="s">
        <v>61</v>
      </c>
    </row>
    <row r="2" spans="1:4" x14ac:dyDescent="0.4">
      <c r="A2" s="42" t="s">
        <v>62</v>
      </c>
      <c r="B2" s="43" t="s">
        <v>65</v>
      </c>
      <c r="C2" s="44" t="s">
        <v>64</v>
      </c>
      <c r="D2" s="45" t="s">
        <v>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2026-CBC7-4A52-A67E-B6B45C59395F}">
  <dimension ref="A1:Q25"/>
  <sheetViews>
    <sheetView tabSelected="1" topLeftCell="A10" zoomScaleNormal="100" workbookViewId="0">
      <selection activeCell="G13" sqref="G13"/>
    </sheetView>
  </sheetViews>
  <sheetFormatPr defaultRowHeight="17" x14ac:dyDescent="0.4"/>
  <cols>
    <col min="1" max="1" width="27.54296875" customWidth="1"/>
    <col min="2" max="2" width="43.90625" customWidth="1"/>
    <col min="3" max="3" width="10.36328125" style="15" bestFit="1" customWidth="1"/>
    <col min="4" max="4" width="52.81640625" customWidth="1"/>
    <col min="5" max="5" width="3.1796875" style="2" customWidth="1"/>
    <col min="6" max="6" width="8.6328125" style="2" customWidth="1"/>
    <col min="7" max="7" width="3.1796875" style="2" customWidth="1"/>
    <col min="8" max="8" width="8.6328125" style="2" customWidth="1"/>
    <col min="9" max="9" width="3.1796875" customWidth="1"/>
    <col min="10" max="10" width="8.6328125" customWidth="1"/>
    <col min="11" max="11" width="47.453125" customWidth="1"/>
    <col min="12" max="12" width="3.1796875" customWidth="1"/>
    <col min="13" max="13" width="8.6328125" customWidth="1"/>
    <col min="14" max="14" width="3.1796875" customWidth="1"/>
    <col min="15" max="15" width="8.6328125" customWidth="1"/>
    <col min="16" max="16" width="3.1796875" customWidth="1"/>
    <col min="17" max="17" width="8.6328125" customWidth="1"/>
  </cols>
  <sheetData>
    <row r="1" spans="1:17" x14ac:dyDescent="0.4">
      <c r="A1" s="11" t="s">
        <v>54</v>
      </c>
      <c r="B1" s="4"/>
      <c r="C1" s="14"/>
    </row>
    <row r="2" spans="1:17" x14ac:dyDescent="0.4">
      <c r="A2" s="19" t="s">
        <v>45</v>
      </c>
      <c r="B2" s="20">
        <v>45</v>
      </c>
      <c r="C2" s="8"/>
    </row>
    <row r="3" spans="1:17" x14ac:dyDescent="0.4">
      <c r="A3" s="19" t="s">
        <v>29</v>
      </c>
      <c r="B3" s="20">
        <v>12</v>
      </c>
      <c r="C3" s="8"/>
    </row>
    <row r="4" spans="1:17" ht="34" x14ac:dyDescent="0.4">
      <c r="A4" s="21" t="s">
        <v>30</v>
      </c>
      <c r="B4" s="20">
        <v>12</v>
      </c>
      <c r="C4" s="8"/>
    </row>
    <row r="5" spans="1:17" x14ac:dyDescent="0.4">
      <c r="A5" s="21" t="s">
        <v>36</v>
      </c>
      <c r="B5" s="20" t="s">
        <v>34</v>
      </c>
      <c r="C5" s="8"/>
    </row>
    <row r="6" spans="1:17" x14ac:dyDescent="0.4">
      <c r="A6" s="10"/>
      <c r="B6" s="8"/>
      <c r="C6" s="8"/>
    </row>
    <row r="7" spans="1:17" x14ac:dyDescent="0.4">
      <c r="A7" s="12" t="s">
        <v>31</v>
      </c>
      <c r="B7" s="8"/>
      <c r="C7" s="8"/>
    </row>
    <row r="8" spans="1:17" ht="51" x14ac:dyDescent="0.4">
      <c r="A8" s="21" t="s">
        <v>42</v>
      </c>
      <c r="B8" s="47" t="s">
        <v>69</v>
      </c>
      <c r="C8" s="47"/>
      <c r="D8" s="47"/>
    </row>
    <row r="9" spans="1:17" x14ac:dyDescent="0.4">
      <c r="A9" s="21" t="s">
        <v>32</v>
      </c>
      <c r="B9" s="46" t="s">
        <v>52</v>
      </c>
      <c r="C9" s="46"/>
      <c r="D9" s="46"/>
    </row>
    <row r="10" spans="1:17" ht="34" x14ac:dyDescent="0.4">
      <c r="A10" s="21" t="s">
        <v>67</v>
      </c>
      <c r="B10" s="46" t="s">
        <v>68</v>
      </c>
      <c r="C10" s="46"/>
      <c r="D10" s="46"/>
    </row>
    <row r="11" spans="1:17" x14ac:dyDescent="0.4">
      <c r="A11" s="4"/>
      <c r="B11" s="4"/>
      <c r="C11" s="14"/>
    </row>
    <row r="12" spans="1:17" x14ac:dyDescent="0.4">
      <c r="A12" s="13" t="s">
        <v>33</v>
      </c>
      <c r="B12" s="4" t="s">
        <v>70</v>
      </c>
      <c r="C12" s="14"/>
      <c r="E12" s="50" t="s">
        <v>22</v>
      </c>
      <c r="F12" s="50"/>
      <c r="G12" s="50"/>
      <c r="H12" s="50"/>
      <c r="I12" s="50"/>
      <c r="J12" s="50"/>
      <c r="K12" s="34" t="s">
        <v>35</v>
      </c>
      <c r="L12" s="50" t="s">
        <v>22</v>
      </c>
      <c r="M12" s="50"/>
      <c r="N12" s="50"/>
      <c r="O12" s="50"/>
      <c r="P12" s="50"/>
      <c r="Q12" s="50"/>
    </row>
    <row r="13" spans="1:17" ht="37.5" customHeight="1" x14ac:dyDescent="0.4">
      <c r="A13" s="24" t="s">
        <v>37</v>
      </c>
      <c r="B13" s="24" t="s">
        <v>0</v>
      </c>
      <c r="C13" s="25" t="s">
        <v>38</v>
      </c>
      <c r="D13" s="24" t="s">
        <v>26</v>
      </c>
      <c r="E13" s="26">
        <v>15</v>
      </c>
      <c r="F13" s="27" t="s">
        <v>9</v>
      </c>
      <c r="G13" s="26">
        <v>10</v>
      </c>
      <c r="H13" s="27" t="s">
        <v>10</v>
      </c>
      <c r="I13" s="26">
        <v>5</v>
      </c>
      <c r="J13" s="27" t="s">
        <v>11</v>
      </c>
      <c r="K13" s="52" t="s">
        <v>66</v>
      </c>
      <c r="L13" s="26">
        <v>7.5</v>
      </c>
      <c r="M13" s="27" t="s">
        <v>9</v>
      </c>
      <c r="N13" s="26">
        <v>5</v>
      </c>
      <c r="O13" s="27" t="s">
        <v>10</v>
      </c>
      <c r="P13" s="26">
        <v>2.5</v>
      </c>
      <c r="Q13" s="27" t="s">
        <v>11</v>
      </c>
    </row>
    <row r="14" spans="1:17" ht="38.4" customHeight="1" x14ac:dyDescent="0.4">
      <c r="A14" s="24" t="s">
        <v>1</v>
      </c>
      <c r="B14" s="23" t="s">
        <v>2</v>
      </c>
      <c r="C14" s="28">
        <v>1105</v>
      </c>
      <c r="D14" s="22" t="s">
        <v>48</v>
      </c>
      <c r="E14" s="29" t="s">
        <v>3</v>
      </c>
      <c r="F14" s="30">
        <f>LN($B$3*365*$E$13/10^7)/(-0.05)</f>
        <v>100.50482892971235</v>
      </c>
      <c r="G14" s="29" t="s">
        <v>3</v>
      </c>
      <c r="H14" s="30">
        <f>LN($B$3*365*$G$13/10^7)/(-0.05)</f>
        <v>108.61413109187563</v>
      </c>
      <c r="I14" s="29" t="s">
        <v>3</v>
      </c>
      <c r="J14" s="30">
        <f>LN($B$3*365*$I$13/10^7)/(-0.05)</f>
        <v>122.47707470307455</v>
      </c>
      <c r="K14" s="53"/>
      <c r="L14" s="29"/>
      <c r="M14" s="48" t="s">
        <v>49</v>
      </c>
      <c r="N14" s="48"/>
      <c r="O14" s="48"/>
      <c r="P14" s="48"/>
      <c r="Q14" s="48"/>
    </row>
    <row r="15" spans="1:17" ht="77" x14ac:dyDescent="0.4">
      <c r="A15" s="24" t="s">
        <v>4</v>
      </c>
      <c r="B15" s="23" t="s">
        <v>12</v>
      </c>
      <c r="C15" s="28">
        <v>1164</v>
      </c>
      <c r="D15" s="22" t="s">
        <v>46</v>
      </c>
      <c r="E15" s="29" t="s">
        <v>3</v>
      </c>
      <c r="F15" s="31">
        <f>4640/LN(24*365*$E$13/0.4)-273</f>
        <v>92.288402856374319</v>
      </c>
      <c r="G15" s="29" t="s">
        <v>3</v>
      </c>
      <c r="H15" s="31">
        <f>4640/LN(24*365*$G$13/0.4)-273</f>
        <v>104.33311175964189</v>
      </c>
      <c r="I15" s="29" t="s">
        <v>3</v>
      </c>
      <c r="J15" s="31">
        <f>4640/LN(24*365*$I$13/0.4)-273</f>
        <v>126.8731496113935</v>
      </c>
      <c r="K15" s="37" t="s">
        <v>50</v>
      </c>
      <c r="L15" s="29" t="s">
        <v>3</v>
      </c>
      <c r="M15" s="31">
        <f>4640/LN(24*365*$L$13/0.4)-273</f>
        <v>113.37222088615022</v>
      </c>
      <c r="N15" s="29" t="s">
        <v>3</v>
      </c>
      <c r="O15" s="31">
        <f>4640/LN(24*365*$N$13/0.4)-273</f>
        <v>126.8731496113935</v>
      </c>
      <c r="P15" s="29" t="s">
        <v>3</v>
      </c>
      <c r="Q15" s="31">
        <f>4640/LN(24*365*$P$13/0.4)-273</f>
        <v>152.27712897565777</v>
      </c>
    </row>
    <row r="16" spans="1:17" ht="44" customHeight="1" x14ac:dyDescent="0.4">
      <c r="A16" s="24" t="s">
        <v>5</v>
      </c>
      <c r="B16" s="32" t="s">
        <v>27</v>
      </c>
      <c r="C16" s="35">
        <v>1106</v>
      </c>
      <c r="D16" s="22" t="s">
        <v>46</v>
      </c>
      <c r="E16" s="29" t="s">
        <v>3</v>
      </c>
      <c r="F16" s="31">
        <f>1/(1/343+LN(24*365*$E$13/(2.3*10^5))/7000)-273</f>
        <v>79.674506015433963</v>
      </c>
      <c r="G16" s="29" t="s">
        <v>3</v>
      </c>
      <c r="H16" s="31">
        <f>1/(1/343+LN(24*365*$G$13/(2.3*10^5))/7000)-273</f>
        <v>87.02924550698873</v>
      </c>
      <c r="I16" s="29" t="s">
        <v>3</v>
      </c>
      <c r="J16" s="31">
        <f>1/(1/343+LN(24*365*$I$13/(2.3*10^5))/7000)-273</f>
        <v>100.33895285583577</v>
      </c>
      <c r="K16" s="51" t="s">
        <v>51</v>
      </c>
      <c r="L16" s="29" t="s">
        <v>3</v>
      </c>
      <c r="M16" s="31">
        <f>1/(1/343+LN(24*365*$L$13/(2.3*10^5))/7000)-273</f>
        <v>92.436343947626028</v>
      </c>
      <c r="N16" s="29" t="s">
        <v>3</v>
      </c>
      <c r="O16" s="31">
        <f>1/(1/343+LN(24*365*$N$13/(2.3*10^5))/7000)-273</f>
        <v>100.33895285583577</v>
      </c>
      <c r="P16" s="29" t="s">
        <v>3</v>
      </c>
      <c r="Q16" s="31">
        <f>1/(1/343+LN(24*365*$P$13/(2.3*10^5))/7000)-273</f>
        <v>114.67051383688954</v>
      </c>
    </row>
    <row r="17" spans="1:17" ht="44" customHeight="1" x14ac:dyDescent="0.4">
      <c r="A17" s="24" t="s">
        <v>5</v>
      </c>
      <c r="B17" s="32" t="s">
        <v>28</v>
      </c>
      <c r="C17" s="35">
        <v>1106</v>
      </c>
      <c r="D17" s="22" t="s">
        <v>46</v>
      </c>
      <c r="E17" s="29" t="s">
        <v>3</v>
      </c>
      <c r="F17" s="31">
        <f>1/(1/343+LN(24*365*$E$13/(8.7*10^6))/7000)-273</f>
        <v>158.69023014086093</v>
      </c>
      <c r="G17" s="29" t="s">
        <v>3</v>
      </c>
      <c r="H17" s="31">
        <f>1/(1/343+LN(24*365*$G$13/(8.7*10^6))/7000)-273</f>
        <v>169.76150211062901</v>
      </c>
      <c r="I17" s="29" t="s">
        <v>3</v>
      </c>
      <c r="J17" s="31">
        <f>1/(1/343+LN(24*365*$I$13/(8.7*10^6))/7000)-273</f>
        <v>190.06345330483799</v>
      </c>
      <c r="K17" s="51"/>
      <c r="L17" s="29" t="s">
        <v>3</v>
      </c>
      <c r="M17" s="31">
        <f>1/(1/343+LN(24*365*$L$13/(8.7*10^6))/7000)-273</f>
        <v>177.96747025681674</v>
      </c>
      <c r="N17" s="29" t="s">
        <v>3</v>
      </c>
      <c r="O17" s="31">
        <f>1/(1/343+LN(24*365*$N$13/(8.7*10^6))/7000)-273</f>
        <v>190.06345330483799</v>
      </c>
      <c r="P17" s="29" t="s">
        <v>3</v>
      </c>
      <c r="Q17" s="31">
        <f>1/(1/343+LN(24*365*$P$13/(8.7*10^6))/7000)-273</f>
        <v>212.31668822028337</v>
      </c>
    </row>
    <row r="18" spans="1:17" ht="34" x14ac:dyDescent="0.4">
      <c r="A18" s="36" t="s">
        <v>6</v>
      </c>
      <c r="B18" s="23" t="s">
        <v>23</v>
      </c>
      <c r="C18" s="28">
        <v>1103</v>
      </c>
      <c r="D18" s="22" t="s">
        <v>47</v>
      </c>
      <c r="E18" s="49" t="s">
        <v>44</v>
      </c>
      <c r="F18" s="49"/>
      <c r="G18" s="49"/>
      <c r="H18" s="49"/>
      <c r="I18" s="49"/>
      <c r="J18" s="49"/>
    </row>
    <row r="19" spans="1:17" x14ac:dyDescent="0.4">
      <c r="A19" s="24" t="s">
        <v>7</v>
      </c>
      <c r="B19" s="23" t="s">
        <v>13</v>
      </c>
      <c r="C19" s="28">
        <v>1107</v>
      </c>
      <c r="D19" s="22" t="s">
        <v>25</v>
      </c>
      <c r="E19" s="29" t="s">
        <v>8</v>
      </c>
      <c r="F19" s="33">
        <f>$B$3*365*$E$13</f>
        <v>65700</v>
      </c>
      <c r="G19" s="29" t="s">
        <v>8</v>
      </c>
      <c r="H19" s="33">
        <f>$B$3*365*$G$13</f>
        <v>43800</v>
      </c>
      <c r="I19" s="29" t="s">
        <v>8</v>
      </c>
      <c r="J19" s="33">
        <f>$B$3*365*$I$13</f>
        <v>21900</v>
      </c>
    </row>
    <row r="20" spans="1:17" x14ac:dyDescent="0.4">
      <c r="A20" s="24" t="s">
        <v>15</v>
      </c>
      <c r="B20" s="23" t="s">
        <v>14</v>
      </c>
      <c r="C20" s="28">
        <v>1109</v>
      </c>
      <c r="D20" s="22" t="s">
        <v>24</v>
      </c>
      <c r="E20" s="29" t="s">
        <v>8</v>
      </c>
      <c r="F20" s="33">
        <f>$B$4*365*$E$13</f>
        <v>65700</v>
      </c>
      <c r="G20" s="29" t="s">
        <v>8</v>
      </c>
      <c r="H20" s="33">
        <f>$B$4*365*$G$13</f>
        <v>43800</v>
      </c>
      <c r="I20" s="29" t="s">
        <v>8</v>
      </c>
      <c r="J20" s="33">
        <f>$B$4*365*$I$13</f>
        <v>21900</v>
      </c>
    </row>
    <row r="21" spans="1:17" x14ac:dyDescent="0.4">
      <c r="A21" s="24" t="s">
        <v>17</v>
      </c>
      <c r="B21" s="23" t="s">
        <v>16</v>
      </c>
      <c r="C21" s="28">
        <v>1126</v>
      </c>
      <c r="D21" s="22" t="s">
        <v>24</v>
      </c>
      <c r="E21" s="29" t="s">
        <v>8</v>
      </c>
      <c r="F21" s="33">
        <f>$B$4*365*$E$13</f>
        <v>65700</v>
      </c>
      <c r="G21" s="29" t="s">
        <v>8</v>
      </c>
      <c r="H21" s="33">
        <f>$B$4*365*$G$13</f>
        <v>43800</v>
      </c>
      <c r="I21" s="29" t="s">
        <v>8</v>
      </c>
      <c r="J21" s="33">
        <f>$B$4*365*$I$13</f>
        <v>21900</v>
      </c>
    </row>
    <row r="23" spans="1:17" ht="51" hidden="1" x14ac:dyDescent="0.4">
      <c r="D23" s="9" t="s">
        <v>20</v>
      </c>
    </row>
    <row r="25" spans="1:17" ht="77" x14ac:dyDescent="0.4">
      <c r="K25" s="38" t="s">
        <v>53</v>
      </c>
    </row>
  </sheetData>
  <mergeCells count="9">
    <mergeCell ref="B9:D9"/>
    <mergeCell ref="B8:D8"/>
    <mergeCell ref="M14:Q14"/>
    <mergeCell ref="E18:J18"/>
    <mergeCell ref="E12:J12"/>
    <mergeCell ref="K16:K17"/>
    <mergeCell ref="L12:Q12"/>
    <mergeCell ref="K13:K14"/>
    <mergeCell ref="B10:D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C679-78B4-45E6-A200-D36A962ABA81}">
  <dimension ref="A1:I30"/>
  <sheetViews>
    <sheetView workbookViewId="0">
      <selection sqref="A1:B1"/>
    </sheetView>
  </sheetViews>
  <sheetFormatPr defaultRowHeight="17" x14ac:dyDescent="0.4"/>
  <cols>
    <col min="1" max="2" width="13.81640625" style="3" customWidth="1"/>
    <col min="3" max="3" width="3.6328125" customWidth="1"/>
    <col min="4" max="4" width="10.36328125" style="3" customWidth="1"/>
    <col min="5" max="5" width="3.6328125" customWidth="1"/>
    <col min="6" max="6" width="10.08984375" style="3" customWidth="1"/>
    <col min="7" max="7" width="3.6328125" customWidth="1"/>
    <col min="9" max="9" width="22.81640625" customWidth="1"/>
  </cols>
  <sheetData>
    <row r="1" spans="1:9" ht="44.5" customHeight="1" x14ac:dyDescent="0.4">
      <c r="A1" s="54" t="s">
        <v>43</v>
      </c>
      <c r="B1" s="54"/>
      <c r="C1" s="54" t="s">
        <v>21</v>
      </c>
      <c r="D1" s="54"/>
      <c r="E1" s="54"/>
      <c r="F1" s="54"/>
      <c r="G1" s="54"/>
      <c r="H1" s="54"/>
      <c r="I1" s="39" t="s">
        <v>55</v>
      </c>
    </row>
    <row r="2" spans="1:9" x14ac:dyDescent="0.4">
      <c r="A2" s="5" t="s">
        <v>18</v>
      </c>
      <c r="B2" s="5" t="s">
        <v>19</v>
      </c>
      <c r="C2" s="7">
        <v>15</v>
      </c>
      <c r="D2" s="5" t="s">
        <v>9</v>
      </c>
      <c r="E2" s="7">
        <v>10</v>
      </c>
      <c r="F2" s="5" t="s">
        <v>10</v>
      </c>
      <c r="G2" s="7">
        <v>5</v>
      </c>
      <c r="H2" s="5" t="s">
        <v>11</v>
      </c>
    </row>
    <row r="3" spans="1:9" x14ac:dyDescent="0.4">
      <c r="A3" s="3">
        <v>105</v>
      </c>
      <c r="B3" s="3">
        <v>2000</v>
      </c>
      <c r="C3" s="2" t="s">
        <v>3</v>
      </c>
      <c r="D3" s="6">
        <f t="shared" ref="D3:D30" si="0">A3-10*LOG(24*365*$C$2/B3,2)</f>
        <v>44.621785345650324</v>
      </c>
      <c r="E3" s="2" t="s">
        <v>3</v>
      </c>
      <c r="F3" s="6">
        <f>A3-10*LOG(24*365*$E$2/B3,2)</f>
        <v>50.471410352861888</v>
      </c>
      <c r="G3" s="2" t="s">
        <v>3</v>
      </c>
      <c r="H3" s="6">
        <f>A3-10*LOG(24*365*$G$2/B3,2)</f>
        <v>60.471410352861888</v>
      </c>
    </row>
    <row r="4" spans="1:9" x14ac:dyDescent="0.4">
      <c r="A4" s="3">
        <v>105</v>
      </c>
      <c r="B4" s="3">
        <v>3000</v>
      </c>
      <c r="C4" s="2" t="s">
        <v>3</v>
      </c>
      <c r="D4" s="6">
        <f t="shared" si="0"/>
        <v>50.471410352861888</v>
      </c>
      <c r="E4" s="2" t="s">
        <v>3</v>
      </c>
      <c r="F4" s="6">
        <f t="shared" ref="F4:F30" si="1">A4-10*LOG(24*365*$E$2/B4,2)</f>
        <v>56.321035360073452</v>
      </c>
      <c r="G4" s="2" t="s">
        <v>3</v>
      </c>
      <c r="H4" s="6">
        <f t="shared" ref="H4:H30" si="2">A4-10*LOG(24*365*$G$2/B4,2)</f>
        <v>66.321035360073438</v>
      </c>
    </row>
    <row r="5" spans="1:9" x14ac:dyDescent="0.4">
      <c r="A5" s="3">
        <v>105</v>
      </c>
      <c r="B5" s="3">
        <v>4000</v>
      </c>
      <c r="C5" s="2" t="s">
        <v>3</v>
      </c>
      <c r="D5" s="6">
        <f t="shared" si="0"/>
        <v>54.621785345650324</v>
      </c>
      <c r="E5" s="2" t="s">
        <v>3</v>
      </c>
      <c r="F5" s="6">
        <f t="shared" si="1"/>
        <v>60.471410352861888</v>
      </c>
      <c r="G5" s="2" t="s">
        <v>3</v>
      </c>
      <c r="H5" s="6">
        <f t="shared" si="2"/>
        <v>70.471410352861881</v>
      </c>
    </row>
    <row r="6" spans="1:9" x14ac:dyDescent="0.4">
      <c r="A6" s="3">
        <v>105</v>
      </c>
      <c r="B6" s="3">
        <v>5000</v>
      </c>
      <c r="C6" s="2" t="s">
        <v>3</v>
      </c>
      <c r="D6" s="6">
        <f t="shared" si="0"/>
        <v>57.841066294523948</v>
      </c>
      <c r="E6" s="2" t="s">
        <v>3</v>
      </c>
      <c r="F6" s="6">
        <f t="shared" si="1"/>
        <v>63.690691301735512</v>
      </c>
      <c r="G6" s="2" t="s">
        <v>3</v>
      </c>
      <c r="H6" s="6">
        <f t="shared" si="2"/>
        <v>73.690691301735512</v>
      </c>
    </row>
    <row r="7" spans="1:9" x14ac:dyDescent="0.4">
      <c r="A7" s="3">
        <v>105</v>
      </c>
      <c r="B7" s="3">
        <v>6000</v>
      </c>
      <c r="C7" s="2" t="s">
        <v>3</v>
      </c>
      <c r="D7" s="6">
        <f t="shared" si="0"/>
        <v>60.471410352861888</v>
      </c>
      <c r="E7" s="2" t="s">
        <v>3</v>
      </c>
      <c r="F7" s="6">
        <f t="shared" si="1"/>
        <v>66.321035360073438</v>
      </c>
      <c r="G7" s="2" t="s">
        <v>3</v>
      </c>
      <c r="H7" s="6">
        <f t="shared" si="2"/>
        <v>76.321035360073452</v>
      </c>
    </row>
    <row r="8" spans="1:9" x14ac:dyDescent="0.4">
      <c r="A8" s="3">
        <v>105</v>
      </c>
      <c r="B8" s="3">
        <v>7000</v>
      </c>
      <c r="C8" s="2" t="s">
        <v>3</v>
      </c>
      <c r="D8" s="6">
        <f t="shared" si="0"/>
        <v>62.695334566226364</v>
      </c>
      <c r="E8" s="2" t="s">
        <v>3</v>
      </c>
      <c r="F8" s="6">
        <f t="shared" si="1"/>
        <v>68.544959573437922</v>
      </c>
      <c r="G8" s="2" t="s">
        <v>3</v>
      </c>
      <c r="H8" s="6">
        <f t="shared" si="2"/>
        <v>78.544959573437922</v>
      </c>
    </row>
    <row r="9" spans="1:9" x14ac:dyDescent="0.4">
      <c r="A9" s="3">
        <v>105</v>
      </c>
      <c r="B9" s="3">
        <v>8000</v>
      </c>
      <c r="C9" s="2" t="s">
        <v>3</v>
      </c>
      <c r="D9" s="6">
        <f t="shared" si="0"/>
        <v>64.621785345650324</v>
      </c>
      <c r="E9" s="2" t="s">
        <v>3</v>
      </c>
      <c r="F9" s="6">
        <f t="shared" si="1"/>
        <v>70.471410352861881</v>
      </c>
      <c r="G9" s="2" t="s">
        <v>3</v>
      </c>
      <c r="H9" s="6">
        <f t="shared" si="2"/>
        <v>80.471410352861881</v>
      </c>
    </row>
    <row r="10" spans="1:9" x14ac:dyDescent="0.4">
      <c r="A10" s="3">
        <v>105</v>
      </c>
      <c r="B10" s="3">
        <v>9000</v>
      </c>
      <c r="C10" s="2" t="s">
        <v>3</v>
      </c>
      <c r="D10" s="6">
        <f t="shared" si="0"/>
        <v>66.321035360073438</v>
      </c>
      <c r="E10" s="2" t="s">
        <v>3</v>
      </c>
      <c r="F10" s="6">
        <f t="shared" si="1"/>
        <v>72.170660367285009</v>
      </c>
      <c r="G10" s="2" t="s">
        <v>3</v>
      </c>
      <c r="H10" s="6">
        <f t="shared" si="2"/>
        <v>82.170660367285024</v>
      </c>
    </row>
    <row r="11" spans="1:9" x14ac:dyDescent="0.4">
      <c r="A11" s="3">
        <v>105</v>
      </c>
      <c r="B11" s="3">
        <v>10000</v>
      </c>
      <c r="C11" s="2" t="s">
        <v>3</v>
      </c>
      <c r="D11" s="6">
        <f t="shared" si="0"/>
        <v>67.841066294523955</v>
      </c>
      <c r="E11" s="2" t="s">
        <v>3</v>
      </c>
      <c r="F11" s="6">
        <f t="shared" si="1"/>
        <v>73.690691301735512</v>
      </c>
      <c r="G11" s="2" t="s">
        <v>3</v>
      </c>
      <c r="H11" s="6">
        <f t="shared" si="2"/>
        <v>83.690691301735512</v>
      </c>
    </row>
    <row r="12" spans="1:9" x14ac:dyDescent="0.4">
      <c r="A12" s="3">
        <v>105</v>
      </c>
      <c r="B12" s="3">
        <v>11000</v>
      </c>
      <c r="C12" s="2" t="s">
        <v>3</v>
      </c>
      <c r="D12" s="6">
        <f t="shared" si="0"/>
        <v>69.216101532023288</v>
      </c>
      <c r="E12" s="2" t="s">
        <v>3</v>
      </c>
      <c r="F12" s="6">
        <f t="shared" si="1"/>
        <v>75.065726539234859</v>
      </c>
      <c r="G12" s="2" t="s">
        <v>3</v>
      </c>
      <c r="H12" s="6">
        <f t="shared" si="2"/>
        <v>85.065726539234859</v>
      </c>
    </row>
    <row r="13" spans="1:9" x14ac:dyDescent="0.4">
      <c r="A13" s="3">
        <v>105</v>
      </c>
      <c r="B13" s="3">
        <v>12000</v>
      </c>
      <c r="C13" s="2" t="s">
        <v>3</v>
      </c>
      <c r="D13" s="6">
        <f t="shared" si="0"/>
        <v>70.471410352861881</v>
      </c>
      <c r="E13" s="2" t="s">
        <v>3</v>
      </c>
      <c r="F13" s="6">
        <f t="shared" si="1"/>
        <v>76.321035360073452</v>
      </c>
      <c r="G13" s="2" t="s">
        <v>3</v>
      </c>
      <c r="H13" s="6">
        <f t="shared" si="2"/>
        <v>86.321035360073452</v>
      </c>
    </row>
    <row r="14" spans="1:9" x14ac:dyDescent="0.4">
      <c r="A14" s="3">
        <v>105</v>
      </c>
      <c r="B14" s="3">
        <v>13000</v>
      </c>
      <c r="C14" s="2" t="s">
        <v>3</v>
      </c>
      <c r="D14" s="6">
        <f t="shared" si="0"/>
        <v>71.626182527061246</v>
      </c>
      <c r="E14" s="2" t="s">
        <v>3</v>
      </c>
      <c r="F14" s="6">
        <f t="shared" si="1"/>
        <v>77.475807534272803</v>
      </c>
      <c r="G14" s="2" t="s">
        <v>3</v>
      </c>
      <c r="H14" s="6">
        <f t="shared" si="2"/>
        <v>87.475807534272803</v>
      </c>
    </row>
    <row r="15" spans="1:9" x14ac:dyDescent="0.4">
      <c r="A15" s="3">
        <v>105</v>
      </c>
      <c r="B15" s="3">
        <v>14000</v>
      </c>
      <c r="C15" s="2" t="s">
        <v>3</v>
      </c>
      <c r="D15" s="6">
        <f t="shared" si="0"/>
        <v>72.695334566226364</v>
      </c>
      <c r="E15" s="2" t="s">
        <v>3</v>
      </c>
      <c r="F15" s="6">
        <f t="shared" si="1"/>
        <v>78.544959573437922</v>
      </c>
      <c r="G15" s="2" t="s">
        <v>3</v>
      </c>
      <c r="H15" s="6">
        <f t="shared" si="2"/>
        <v>88.544959573437922</v>
      </c>
    </row>
    <row r="16" spans="1:9" x14ac:dyDescent="0.4">
      <c r="A16" s="3">
        <v>105</v>
      </c>
      <c r="B16" s="3">
        <v>15000</v>
      </c>
      <c r="C16" s="2" t="s">
        <v>3</v>
      </c>
      <c r="D16" s="6">
        <f t="shared" si="0"/>
        <v>73.690691301735512</v>
      </c>
      <c r="E16" s="2" t="s">
        <v>3</v>
      </c>
      <c r="F16" s="6">
        <f t="shared" si="1"/>
        <v>79.54031630894707</v>
      </c>
      <c r="G16" s="2" t="s">
        <v>3</v>
      </c>
      <c r="H16" s="6">
        <f t="shared" si="2"/>
        <v>89.54031630894707</v>
      </c>
    </row>
    <row r="17" spans="1:8" x14ac:dyDescent="0.4">
      <c r="A17" s="3">
        <v>125</v>
      </c>
      <c r="B17" s="3">
        <v>1000</v>
      </c>
      <c r="C17" s="2" t="s">
        <v>3</v>
      </c>
      <c r="D17" s="6">
        <f t="shared" si="0"/>
        <v>54.621785345650324</v>
      </c>
      <c r="E17" s="2" t="s">
        <v>3</v>
      </c>
      <c r="F17" s="6">
        <f t="shared" si="1"/>
        <v>60.471410352861895</v>
      </c>
      <c r="G17" s="2" t="s">
        <v>3</v>
      </c>
      <c r="H17" s="6">
        <f t="shared" si="2"/>
        <v>70.471410352861881</v>
      </c>
    </row>
    <row r="18" spans="1:8" x14ac:dyDescent="0.4">
      <c r="A18" s="3">
        <v>125</v>
      </c>
      <c r="B18" s="3">
        <v>1500</v>
      </c>
      <c r="C18" s="2" t="s">
        <v>3</v>
      </c>
      <c r="D18" s="6">
        <f t="shared" si="0"/>
        <v>60.471410352861895</v>
      </c>
      <c r="E18" s="2" t="s">
        <v>3</v>
      </c>
      <c r="F18" s="6">
        <f t="shared" si="1"/>
        <v>66.321035360073452</v>
      </c>
      <c r="G18" s="2" t="s">
        <v>3</v>
      </c>
      <c r="H18" s="6">
        <f t="shared" si="2"/>
        <v>76.321035360073452</v>
      </c>
    </row>
    <row r="19" spans="1:8" x14ac:dyDescent="0.4">
      <c r="A19" s="3">
        <v>125</v>
      </c>
      <c r="B19" s="3">
        <v>2000</v>
      </c>
      <c r="C19" s="2" t="s">
        <v>3</v>
      </c>
      <c r="D19" s="6">
        <f t="shared" si="0"/>
        <v>64.621785345650324</v>
      </c>
      <c r="E19" s="2" t="s">
        <v>3</v>
      </c>
      <c r="F19" s="6">
        <f t="shared" si="1"/>
        <v>70.471410352861881</v>
      </c>
      <c r="G19" s="2" t="s">
        <v>3</v>
      </c>
      <c r="H19" s="6">
        <f t="shared" si="2"/>
        <v>80.471410352861881</v>
      </c>
    </row>
    <row r="20" spans="1:8" x14ac:dyDescent="0.4">
      <c r="A20" s="3">
        <v>125</v>
      </c>
      <c r="B20" s="3">
        <v>2500</v>
      </c>
      <c r="C20" s="2" t="s">
        <v>3</v>
      </c>
      <c r="D20" s="6">
        <f t="shared" si="0"/>
        <v>67.841066294523955</v>
      </c>
      <c r="E20" s="2" t="s">
        <v>3</v>
      </c>
      <c r="F20" s="6">
        <f t="shared" si="1"/>
        <v>73.690691301735512</v>
      </c>
      <c r="G20" s="2" t="s">
        <v>3</v>
      </c>
      <c r="H20" s="6">
        <f t="shared" si="2"/>
        <v>83.690691301735512</v>
      </c>
    </row>
    <row r="21" spans="1:8" x14ac:dyDescent="0.4">
      <c r="A21" s="3">
        <v>125</v>
      </c>
      <c r="B21" s="3">
        <v>3000</v>
      </c>
      <c r="C21" s="2" t="s">
        <v>3</v>
      </c>
      <c r="D21" s="6">
        <f t="shared" si="0"/>
        <v>70.471410352861881</v>
      </c>
      <c r="E21" s="2" t="s">
        <v>3</v>
      </c>
      <c r="F21" s="6">
        <f t="shared" si="1"/>
        <v>76.321035360073452</v>
      </c>
      <c r="G21" s="2" t="s">
        <v>3</v>
      </c>
      <c r="H21" s="6">
        <f t="shared" si="2"/>
        <v>86.321035360073438</v>
      </c>
    </row>
    <row r="22" spans="1:8" x14ac:dyDescent="0.4">
      <c r="A22" s="3">
        <v>125</v>
      </c>
      <c r="B22" s="3">
        <v>3500</v>
      </c>
      <c r="C22" s="2" t="s">
        <v>3</v>
      </c>
      <c r="D22" s="6">
        <f t="shared" si="0"/>
        <v>72.695334566226364</v>
      </c>
      <c r="E22" s="2" t="s">
        <v>3</v>
      </c>
      <c r="F22" s="6">
        <f t="shared" si="1"/>
        <v>78.544959573437922</v>
      </c>
      <c r="G22" s="2" t="s">
        <v>3</v>
      </c>
      <c r="H22" s="6">
        <f t="shared" si="2"/>
        <v>88.544959573437922</v>
      </c>
    </row>
    <row r="23" spans="1:8" x14ac:dyDescent="0.4">
      <c r="A23" s="3">
        <v>125</v>
      </c>
      <c r="B23" s="3">
        <v>4000</v>
      </c>
      <c r="C23" s="2" t="s">
        <v>3</v>
      </c>
      <c r="D23" s="6">
        <f t="shared" si="0"/>
        <v>74.621785345650324</v>
      </c>
      <c r="E23" s="2" t="s">
        <v>3</v>
      </c>
      <c r="F23" s="6">
        <f t="shared" si="1"/>
        <v>80.471410352861881</v>
      </c>
      <c r="G23" s="2" t="s">
        <v>3</v>
      </c>
      <c r="H23" s="6">
        <f t="shared" si="2"/>
        <v>90.471410352861881</v>
      </c>
    </row>
    <row r="24" spans="1:8" x14ac:dyDescent="0.4">
      <c r="A24" s="3">
        <v>125</v>
      </c>
      <c r="B24" s="3">
        <v>4500</v>
      </c>
      <c r="C24" s="2" t="s">
        <v>3</v>
      </c>
      <c r="D24" s="6">
        <f t="shared" si="0"/>
        <v>76.321035360073452</v>
      </c>
      <c r="E24" s="2" t="s">
        <v>3</v>
      </c>
      <c r="F24" s="6">
        <f t="shared" si="1"/>
        <v>82.170660367285009</v>
      </c>
      <c r="G24" s="2" t="s">
        <v>3</v>
      </c>
      <c r="H24" s="6">
        <f t="shared" si="2"/>
        <v>92.170660367285009</v>
      </c>
    </row>
    <row r="25" spans="1:8" x14ac:dyDescent="0.4">
      <c r="A25" s="3">
        <v>125</v>
      </c>
      <c r="B25" s="3">
        <v>5000</v>
      </c>
      <c r="C25" s="2" t="s">
        <v>3</v>
      </c>
      <c r="D25" s="6">
        <f t="shared" si="0"/>
        <v>77.841066294523955</v>
      </c>
      <c r="E25" s="2" t="s">
        <v>3</v>
      </c>
      <c r="F25" s="6">
        <f t="shared" si="1"/>
        <v>83.690691301735512</v>
      </c>
      <c r="G25" s="2" t="s">
        <v>3</v>
      </c>
      <c r="H25" s="6">
        <f t="shared" si="2"/>
        <v>93.690691301735512</v>
      </c>
    </row>
    <row r="26" spans="1:8" x14ac:dyDescent="0.4">
      <c r="A26" s="3">
        <v>135</v>
      </c>
      <c r="B26" s="3">
        <v>1000</v>
      </c>
      <c r="C26" s="2" t="s">
        <v>3</v>
      </c>
      <c r="D26" s="6">
        <f t="shared" si="0"/>
        <v>64.621785345650324</v>
      </c>
      <c r="E26" s="2" t="s">
        <v>3</v>
      </c>
      <c r="F26" s="6">
        <f t="shared" si="1"/>
        <v>70.471410352861895</v>
      </c>
      <c r="G26" s="2" t="s">
        <v>3</v>
      </c>
      <c r="H26" s="6">
        <f t="shared" si="2"/>
        <v>80.471410352861881</v>
      </c>
    </row>
    <row r="27" spans="1:8" x14ac:dyDescent="0.4">
      <c r="A27" s="3">
        <v>135</v>
      </c>
      <c r="B27" s="3">
        <v>1500</v>
      </c>
      <c r="C27" s="2" t="s">
        <v>3</v>
      </c>
      <c r="D27" s="6">
        <f t="shared" si="0"/>
        <v>70.471410352861895</v>
      </c>
      <c r="E27" s="2" t="s">
        <v>3</v>
      </c>
      <c r="F27" s="6">
        <f t="shared" si="1"/>
        <v>76.321035360073452</v>
      </c>
      <c r="G27" s="2" t="s">
        <v>3</v>
      </c>
      <c r="H27" s="6">
        <f t="shared" si="2"/>
        <v>86.321035360073452</v>
      </c>
    </row>
    <row r="28" spans="1:8" x14ac:dyDescent="0.4">
      <c r="A28" s="3">
        <v>135</v>
      </c>
      <c r="B28" s="3">
        <v>2000</v>
      </c>
      <c r="C28" s="2" t="s">
        <v>3</v>
      </c>
      <c r="D28" s="6">
        <f t="shared" si="0"/>
        <v>74.621785345650324</v>
      </c>
      <c r="E28" s="2" t="s">
        <v>3</v>
      </c>
      <c r="F28" s="6">
        <f t="shared" si="1"/>
        <v>80.471410352861881</v>
      </c>
      <c r="G28" s="2" t="s">
        <v>3</v>
      </c>
      <c r="H28" s="6">
        <f t="shared" si="2"/>
        <v>90.471410352861881</v>
      </c>
    </row>
    <row r="29" spans="1:8" x14ac:dyDescent="0.4">
      <c r="A29" s="3">
        <v>135</v>
      </c>
      <c r="B29" s="3">
        <v>2500</v>
      </c>
      <c r="C29" s="2" t="s">
        <v>3</v>
      </c>
      <c r="D29" s="6">
        <f t="shared" si="0"/>
        <v>77.841066294523955</v>
      </c>
      <c r="E29" s="2" t="s">
        <v>3</v>
      </c>
      <c r="F29" s="6">
        <f t="shared" si="1"/>
        <v>83.690691301735512</v>
      </c>
      <c r="G29" s="2" t="s">
        <v>3</v>
      </c>
      <c r="H29" s="6">
        <f t="shared" si="2"/>
        <v>93.690691301735512</v>
      </c>
    </row>
    <row r="30" spans="1:8" x14ac:dyDescent="0.4">
      <c r="A30" s="3">
        <v>135</v>
      </c>
      <c r="B30" s="3">
        <v>3000</v>
      </c>
      <c r="C30" s="2" t="s">
        <v>3</v>
      </c>
      <c r="D30" s="6">
        <f t="shared" si="0"/>
        <v>80.471410352861881</v>
      </c>
      <c r="E30" s="2" t="s">
        <v>3</v>
      </c>
      <c r="F30" s="6">
        <f t="shared" si="1"/>
        <v>86.321035360073452</v>
      </c>
      <c r="G30" s="2" t="s">
        <v>3</v>
      </c>
      <c r="H30" s="6">
        <f t="shared" si="2"/>
        <v>96.321035360073438</v>
      </c>
    </row>
  </sheetData>
  <mergeCells count="2">
    <mergeCell ref="C1:H1"/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196-D436-412A-BF0E-17CB09EE48E7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FB8E-C163-48D9-95A4-434A6194D571}">
  <dimension ref="A1"/>
  <sheetViews>
    <sheetView topLeftCell="A2" workbookViewId="0">
      <selection activeCell="L12" sqref="L12"/>
    </sheetView>
  </sheetViews>
  <sheetFormatPr defaultRowHeight="17" x14ac:dyDescent="0.4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D568-2D5C-42B3-8BE6-CA58F96C24B6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75D2-58BA-4AD3-A7F9-FB1330910A30}">
  <dimension ref="A1:D41"/>
  <sheetViews>
    <sheetView workbookViewId="0"/>
  </sheetViews>
  <sheetFormatPr defaultRowHeight="17" x14ac:dyDescent="0.4"/>
  <sheetData>
    <row r="1" spans="1:4" x14ac:dyDescent="0.4">
      <c r="A1" s="16" t="s">
        <v>57</v>
      </c>
    </row>
    <row r="2" spans="1:4" x14ac:dyDescent="0.4">
      <c r="A2" s="18" t="s">
        <v>56</v>
      </c>
    </row>
    <row r="3" spans="1:4" x14ac:dyDescent="0.4">
      <c r="A3" s="1"/>
    </row>
    <row r="4" spans="1:4" x14ac:dyDescent="0.4">
      <c r="A4" s="1" t="s">
        <v>1</v>
      </c>
      <c r="D4" s="17" t="s">
        <v>41</v>
      </c>
    </row>
    <row r="26" spans="1:4" x14ac:dyDescent="0.4">
      <c r="A26" s="1" t="s">
        <v>4</v>
      </c>
      <c r="D26" s="17" t="s">
        <v>40</v>
      </c>
    </row>
    <row r="41" spans="1:4" x14ac:dyDescent="0.4">
      <c r="A41" s="1" t="s">
        <v>5</v>
      </c>
      <c r="D41" s="17" t="s">
        <v>39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9B9C-BC23-4123-BF46-39544676B0CC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Revision</vt:lpstr>
      <vt:lpstr>Profile</vt:lpstr>
      <vt:lpstr>E-cap</vt:lpstr>
      <vt:lpstr>EN 50155 (2017)</vt:lpstr>
      <vt:lpstr>Test condition</vt:lpstr>
      <vt:lpstr>Tj</vt:lpstr>
      <vt:lpstr>Reference Tj</vt:lpstr>
      <vt:lpstr>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YH Luo (駱胤翰)</dc:creator>
  <cp:lastModifiedBy>Henry YH Luo (駱胤翰)</cp:lastModifiedBy>
  <dcterms:created xsi:type="dcterms:W3CDTF">2025-07-04T09:42:17Z</dcterms:created>
  <dcterms:modified xsi:type="dcterms:W3CDTF">2025-12-11T06:58:35Z</dcterms:modified>
</cp:coreProperties>
</file>